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Kovalyuk500\!!KHУ Шевченка\!COURSES=DISCIPLINES\Data Mining\exam\"/>
    </mc:Choice>
  </mc:AlternateContent>
  <bookViews>
    <workbookView xWindow="0" yWindow="0" windowWidth="23025" windowHeight="9180" activeTab="1"/>
  </bookViews>
  <sheets>
    <sheet name="таблиця балів" sheetId="1" r:id="rId1"/>
    <sheet name="ІПЗм2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6" i="2" l="1"/>
  <c r="Z4" i="2"/>
  <c r="Z5" i="2"/>
  <c r="Z6" i="2"/>
  <c r="Z7" i="2"/>
  <c r="Z8" i="2"/>
  <c r="Z9" i="2"/>
  <c r="Z10" i="2"/>
  <c r="Z11" i="2"/>
  <c r="Z12" i="2"/>
  <c r="Z13" i="2"/>
  <c r="Z14" i="2"/>
  <c r="Z15" i="2"/>
  <c r="Z17" i="2"/>
  <c r="Z18" i="2"/>
  <c r="Z19" i="2"/>
  <c r="Z3" i="2"/>
  <c r="H18" i="2"/>
  <c r="F18" i="2"/>
  <c r="R18" i="2"/>
  <c r="R17" i="2"/>
  <c r="R7" i="2"/>
  <c r="R3" i="2"/>
  <c r="G18" i="2"/>
  <c r="K18" i="2" s="1"/>
  <c r="R4" i="2"/>
  <c r="R5" i="2"/>
  <c r="R6" i="2"/>
  <c r="R8" i="2"/>
  <c r="R9" i="2"/>
  <c r="R10" i="2"/>
  <c r="R11" i="2"/>
  <c r="R12" i="2"/>
  <c r="R13" i="2"/>
  <c r="R14" i="2"/>
  <c r="R15" i="2"/>
  <c r="R16" i="2"/>
  <c r="R19" i="2"/>
  <c r="G3" i="2"/>
  <c r="H3" i="2"/>
  <c r="F3" i="2"/>
  <c r="K3" i="2" s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9" i="2"/>
  <c r="E16" i="2" l="1"/>
  <c r="E17" i="2"/>
  <c r="E19" i="2"/>
  <c r="E18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AG4" i="2" l="1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3" i="2"/>
  <c r="D19" i="2"/>
  <c r="AA19" i="2" s="1"/>
  <c r="D18" i="2"/>
  <c r="AA18" i="2" s="1"/>
  <c r="D17" i="2"/>
  <c r="AA17" i="2" s="1"/>
  <c r="D16" i="2"/>
  <c r="AA16" i="2" s="1"/>
  <c r="D15" i="2"/>
  <c r="AA15" i="2" s="1"/>
  <c r="D14" i="2"/>
  <c r="AA14" i="2" s="1"/>
  <c r="D13" i="2"/>
  <c r="D12" i="2"/>
  <c r="AA12" i="2" s="1"/>
  <c r="D11" i="2"/>
  <c r="AA11" i="2" s="1"/>
  <c r="D10" i="2"/>
  <c r="AA10" i="2" s="1"/>
  <c r="D9" i="2"/>
  <c r="AA9" i="2" s="1"/>
  <c r="D8" i="2"/>
  <c r="AA8" i="2" s="1"/>
  <c r="D7" i="2"/>
  <c r="D6" i="2"/>
  <c r="AA6" i="2" s="1"/>
  <c r="D5" i="2"/>
  <c r="AA5" i="2" s="1"/>
  <c r="D4" i="2"/>
  <c r="AA4" i="2" s="1"/>
  <c r="D3" i="2"/>
  <c r="AA3" i="2" s="1"/>
  <c r="AA13" i="2" l="1"/>
  <c r="AH13" i="2" s="1"/>
  <c r="AJ13" i="2" s="1"/>
  <c r="AH19" i="2"/>
  <c r="AJ19" i="2" s="1"/>
  <c r="AA7" i="2"/>
  <c r="AH7" i="2" s="1"/>
  <c r="AJ7" i="2" s="1"/>
  <c r="AH18" i="2"/>
  <c r="AJ18" i="2" s="1"/>
  <c r="AH3" i="2"/>
  <c r="AJ3" i="2" s="1"/>
  <c r="AH4" i="2"/>
  <c r="AJ4" i="2" s="1"/>
  <c r="AH6" i="2"/>
  <c r="AJ6" i="2" s="1"/>
  <c r="AH14" i="2"/>
  <c r="AJ14" i="2" s="1"/>
  <c r="AH15" i="2"/>
  <c r="AJ15" i="2" s="1"/>
  <c r="AH8" i="2"/>
  <c r="AJ8" i="2" s="1"/>
  <c r="AH16" i="2"/>
  <c r="AJ16" i="2" s="1"/>
  <c r="AH17" i="2"/>
  <c r="AJ17" i="2" s="1"/>
  <c r="AH12" i="2"/>
  <c r="AJ12" i="2" s="1"/>
  <c r="AH5" i="2"/>
  <c r="AJ5" i="2" s="1"/>
  <c r="AH11" i="2"/>
  <c r="AJ11" i="2" s="1"/>
  <c r="AH10" i="2"/>
  <c r="AJ10" i="2" s="1"/>
  <c r="AH9" i="2"/>
  <c r="AJ9" i="2" s="1"/>
  <c r="E12" i="1"/>
  <c r="C12" i="1" l="1"/>
  <c r="D12" i="1"/>
  <c r="B12" i="1"/>
</calcChain>
</file>

<file path=xl/comments1.xml><?xml version="1.0" encoding="utf-8"?>
<comments xmlns="http://schemas.openxmlformats.org/spreadsheetml/2006/main">
  <authors>
    <author>tetyana</author>
  </authors>
  <commentList>
    <comment ref="F3" authorId="0" shapeId="0">
      <text>
        <r>
          <rPr>
            <b/>
            <sz val="8"/>
            <color indexed="81"/>
            <rFont val="Tahoma"/>
            <charset val="1"/>
          </rPr>
          <t>tetyana:</t>
        </r>
        <r>
          <rPr>
            <sz val="8"/>
            <color indexed="81"/>
            <rFont val="Tahoma"/>
            <charset val="1"/>
          </rPr>
          <t xml:space="preserve">
инструкция пользователя?</t>
        </r>
      </text>
    </comment>
    <comment ref="G3" authorId="0" shapeId="0">
      <text>
        <r>
          <rPr>
            <b/>
            <sz val="8"/>
            <color indexed="81"/>
            <rFont val="Tahoma"/>
            <charset val="1"/>
          </rPr>
          <t>tetyana:</t>
        </r>
        <r>
          <rPr>
            <sz val="8"/>
            <color indexed="81"/>
            <rFont val="Tahoma"/>
            <charset val="1"/>
          </rPr>
          <t xml:space="preserve">
 нема нумерації стор
текст не форматований
нема скрін шотів
нема посилань на джерела
</t>
        </r>
      </text>
    </comment>
    <comment ref="K3" authorId="0" shapeId="0">
      <text>
        <r>
          <rPr>
            <b/>
            <sz val="8"/>
            <color indexed="81"/>
            <rFont val="Tahoma"/>
            <family val="2"/>
            <charset val="204"/>
          </rPr>
          <t>tetyana:</t>
        </r>
        <r>
          <rPr>
            <sz val="8"/>
            <color indexed="81"/>
            <rFont val="Tahoma"/>
            <family val="2"/>
            <charset val="204"/>
          </rPr>
          <t xml:space="preserve">
2 реферата</t>
        </r>
      </text>
    </comment>
    <comment ref="U3" authorId="0" shapeId="0">
      <text>
        <r>
          <rPr>
            <b/>
            <sz val="8"/>
            <color indexed="81"/>
            <rFont val="Tahoma"/>
            <family val="2"/>
            <charset val="204"/>
          </rPr>
          <t>tetyana:</t>
        </r>
        <r>
          <rPr>
            <sz val="8"/>
            <color indexed="81"/>
            <rFont val="Tahoma"/>
            <family val="2"/>
            <charset val="204"/>
          </rPr>
          <t xml:space="preserve">
нема посилань на джерела</t>
        </r>
      </text>
    </comment>
    <comment ref="G4" authorId="0" shapeId="0">
      <text>
        <r>
          <rPr>
            <b/>
            <sz val="8"/>
            <color indexed="81"/>
            <rFont val="Tahoma"/>
            <charset val="1"/>
          </rPr>
          <t>tetyana:</t>
        </r>
        <r>
          <rPr>
            <sz val="8"/>
            <color indexed="81"/>
            <rFont val="Tahoma"/>
            <charset val="1"/>
          </rPr>
          <t xml:space="preserve">
 нема нумерації стор
текст не форматований
нема скрін шотів
нема посилань на джерела
</t>
        </r>
      </text>
    </comment>
    <comment ref="G5" authorId="0" shapeId="0">
      <text>
        <r>
          <rPr>
            <b/>
            <sz val="8"/>
            <color indexed="81"/>
            <rFont val="Tahoma"/>
            <charset val="1"/>
          </rPr>
          <t>tetyana:</t>
        </r>
        <r>
          <rPr>
            <sz val="8"/>
            <color indexed="81"/>
            <rFont val="Tahoma"/>
            <charset val="1"/>
          </rPr>
          <t xml:space="preserve">
 нема нумерації стор
текст не форматований
нема скрін шотів
нема посилань на джерела
</t>
        </r>
      </text>
    </comment>
    <comment ref="H5" authorId="0" shapeId="0">
      <text>
        <r>
          <rPr>
            <b/>
            <sz val="8"/>
            <color indexed="81"/>
            <rFont val="Tahoma"/>
            <family val="2"/>
            <charset val="204"/>
          </rPr>
          <t>tetyana:</t>
        </r>
        <r>
          <rPr>
            <sz val="8"/>
            <color indexed="81"/>
            <rFont val="Tahoma"/>
            <family val="2"/>
            <charset val="204"/>
          </rPr>
          <t xml:space="preserve">
нема робочого коду</t>
        </r>
      </text>
    </comment>
    <comment ref="G6" authorId="0" shapeId="0">
      <text>
        <r>
          <rPr>
            <b/>
            <sz val="8"/>
            <color indexed="81"/>
            <rFont val="Tahoma"/>
            <family val="2"/>
            <charset val="204"/>
          </rPr>
          <t>tetyana:</t>
        </r>
        <r>
          <rPr>
            <sz val="8"/>
            <color indexed="81"/>
            <rFont val="Tahoma"/>
            <family val="2"/>
            <charset val="204"/>
          </rPr>
          <t xml:space="preserve">
нема посилань на джерела</t>
        </r>
      </text>
    </comment>
    <comment ref="U7" authorId="0" shapeId="0">
      <text>
        <r>
          <rPr>
            <b/>
            <sz val="8"/>
            <color indexed="81"/>
            <rFont val="Tahoma"/>
            <family val="2"/>
            <charset val="204"/>
          </rPr>
          <t>tetyana:</t>
        </r>
        <r>
          <rPr>
            <sz val="8"/>
            <color indexed="81"/>
            <rFont val="Tahoma"/>
            <family val="2"/>
            <charset val="204"/>
          </rPr>
          <t xml:space="preserve">
нема посилань на джерела</t>
        </r>
      </text>
    </comment>
    <comment ref="G8" authorId="0" shapeId="0">
      <text>
        <r>
          <rPr>
            <b/>
            <sz val="8"/>
            <color indexed="81"/>
            <rFont val="Tahoma"/>
            <charset val="1"/>
          </rPr>
          <t>tetyana:</t>
        </r>
        <r>
          <rPr>
            <sz val="8"/>
            <color indexed="81"/>
            <rFont val="Tahoma"/>
            <charset val="1"/>
          </rPr>
          <t xml:space="preserve">
 нема нумерації стор
текст не форматований
нема скрін шотів
нема посилань на джерела
</t>
        </r>
      </text>
    </comment>
    <comment ref="H9" authorId="0" shapeId="0">
      <text>
        <r>
          <rPr>
            <b/>
            <sz val="8"/>
            <color indexed="81"/>
            <rFont val="Tahoma"/>
            <family val="2"/>
            <charset val="204"/>
          </rPr>
          <t>tetyana:</t>
        </r>
        <r>
          <rPr>
            <sz val="8"/>
            <color indexed="81"/>
            <rFont val="Tahoma"/>
            <family val="2"/>
            <charset val="204"/>
          </rPr>
          <t xml:space="preserve">
есть примері кода, но не работают
</t>
        </r>
      </text>
    </comment>
    <comment ref="G10" authorId="0" shapeId="0">
      <text>
        <r>
          <rPr>
            <b/>
            <sz val="8"/>
            <color indexed="81"/>
            <rFont val="Tahoma"/>
            <charset val="1"/>
          </rPr>
          <t>tetyana:</t>
        </r>
        <r>
          <rPr>
            <sz val="8"/>
            <color indexed="81"/>
            <rFont val="Tahoma"/>
            <charset val="1"/>
          </rPr>
          <t xml:space="preserve">
 нема нумерації стор
текст не форматований
нема скрін шотів
нема посилань на джерела
</t>
        </r>
      </text>
    </comment>
    <comment ref="F13" authorId="0" shapeId="0">
      <text>
        <r>
          <rPr>
            <b/>
            <sz val="8"/>
            <color indexed="81"/>
            <rFont val="Tahoma"/>
            <family val="2"/>
            <charset val="204"/>
          </rPr>
          <t>tetyana:</t>
        </r>
        <r>
          <rPr>
            <sz val="8"/>
            <color indexed="81"/>
            <rFont val="Tahoma"/>
            <family val="2"/>
            <charset val="204"/>
          </rPr>
          <t xml:space="preserve">
нема формалізації розділу  стат моделі</t>
        </r>
      </text>
    </comment>
    <comment ref="G13" authorId="0" shapeId="0">
      <text>
        <r>
          <rPr>
            <b/>
            <sz val="8"/>
            <color indexed="81"/>
            <rFont val="Tahoma"/>
            <family val="2"/>
            <charset val="204"/>
          </rPr>
          <t>tetyana:</t>
        </r>
        <r>
          <rPr>
            <sz val="8"/>
            <color indexed="81"/>
            <rFont val="Tahoma"/>
            <family val="2"/>
            <charset val="204"/>
          </rPr>
          <t xml:space="preserve">
нема посилань на джерела</t>
        </r>
      </text>
    </comment>
    <comment ref="G14" authorId="0" shapeId="0">
      <text>
        <r>
          <rPr>
            <b/>
            <sz val="8"/>
            <color indexed="81"/>
            <rFont val="Tahoma"/>
            <family val="2"/>
            <charset val="204"/>
          </rPr>
          <t>tetyana:</t>
        </r>
        <r>
          <rPr>
            <sz val="8"/>
            <color indexed="81"/>
            <rFont val="Tahoma"/>
            <family val="2"/>
            <charset val="204"/>
          </rPr>
          <t xml:space="preserve">
нема посилань на джерела</t>
        </r>
      </text>
    </comment>
    <comment ref="U17" authorId="0" shapeId="0">
      <text>
        <r>
          <rPr>
            <b/>
            <sz val="8"/>
            <color indexed="81"/>
            <rFont val="Tahoma"/>
            <family val="2"/>
            <charset val="204"/>
          </rPr>
          <t>tetyana:</t>
        </r>
        <r>
          <rPr>
            <sz val="8"/>
            <color indexed="81"/>
            <rFont val="Tahoma"/>
            <family val="2"/>
            <charset val="204"/>
          </rPr>
          <t xml:space="preserve">
нема посилань на джерела</t>
        </r>
      </text>
    </comment>
    <comment ref="F18" authorId="0" shapeId="0">
      <text>
        <r>
          <rPr>
            <b/>
            <sz val="8"/>
            <color indexed="81"/>
            <rFont val="Tahoma"/>
            <charset val="1"/>
          </rPr>
          <t>tetyana:</t>
        </r>
        <r>
          <rPr>
            <sz val="8"/>
            <color indexed="81"/>
            <rFont val="Tahoma"/>
            <charset val="1"/>
          </rPr>
          <t xml:space="preserve">
инструкция пользователя?</t>
        </r>
      </text>
    </comment>
    <comment ref="G18" authorId="0" shapeId="0">
      <text>
        <r>
          <rPr>
            <b/>
            <sz val="8"/>
            <color indexed="81"/>
            <rFont val="Tahoma"/>
            <family val="2"/>
            <charset val="204"/>
          </rPr>
          <t>tetyana:</t>
        </r>
        <r>
          <rPr>
            <sz val="8"/>
            <color indexed="81"/>
            <rFont val="Tahoma"/>
            <family val="2"/>
            <charset val="204"/>
          </rPr>
          <t xml:space="preserve">
посилання на джерела?</t>
        </r>
      </text>
    </comment>
    <comment ref="K18" authorId="0" shapeId="0">
      <text>
        <r>
          <rPr>
            <b/>
            <sz val="8"/>
            <color indexed="81"/>
            <rFont val="Tahoma"/>
            <family val="2"/>
            <charset val="204"/>
          </rPr>
          <t>tetyana:</t>
        </r>
        <r>
          <rPr>
            <sz val="8"/>
            <color indexed="81"/>
            <rFont val="Tahoma"/>
            <family val="2"/>
            <charset val="204"/>
          </rPr>
          <t xml:space="preserve">
2 реферата</t>
        </r>
      </text>
    </comment>
    <comment ref="U18" authorId="0" shapeId="0">
      <text>
        <r>
          <rPr>
            <b/>
            <sz val="8"/>
            <color indexed="81"/>
            <rFont val="Tahoma"/>
            <family val="2"/>
            <charset val="204"/>
          </rPr>
          <t>tetyana:</t>
        </r>
        <r>
          <rPr>
            <sz val="8"/>
            <color indexed="81"/>
            <rFont val="Tahoma"/>
            <family val="2"/>
            <charset val="204"/>
          </rPr>
          <t xml:space="preserve">
нема посилань на джерела</t>
        </r>
      </text>
    </comment>
  </commentList>
</comments>
</file>

<file path=xl/sharedStrings.xml><?xml version="1.0" encoding="utf-8"?>
<sst xmlns="http://schemas.openxmlformats.org/spreadsheetml/2006/main" count="74" uniqueCount="66">
  <si>
    <t>бал</t>
  </si>
  <si>
    <t>Вид робіт</t>
  </si>
  <si>
    <t>Відвідування лекцій</t>
  </si>
  <si>
    <t>тест1</t>
  </si>
  <si>
    <t>тест2</t>
  </si>
  <si>
    <t>реферат</t>
  </si>
  <si>
    <t>бізнес-кейс</t>
  </si>
  <si>
    <t>проект</t>
  </si>
  <si>
    <t>разом</t>
  </si>
  <si>
    <t>Програмні технології інтелектуального
 аналізу даних</t>
  </si>
  <si>
    <t xml:space="preserve">Варіанти балів (робіт) на вибір студента </t>
  </si>
  <si>
    <t xml:space="preserve">Бойченко  Наталя  Вадимівна </t>
  </si>
  <si>
    <t xml:space="preserve">Бражиненко  Максим  Геннадійович </t>
  </si>
  <si>
    <t xml:space="preserve">Василенко  Володимир  Володимирович </t>
  </si>
  <si>
    <t xml:space="preserve">Вольніцький  Даніель  Денисович </t>
  </si>
  <si>
    <t xml:space="preserve">Зозуля  Іванна  Сергіївна </t>
  </si>
  <si>
    <t xml:space="preserve">Ільїн  Максим  Володимирович </t>
  </si>
  <si>
    <t xml:space="preserve">Карнацький  Дмитро  Олегович </t>
  </si>
  <si>
    <t xml:space="preserve">Кирій  Дмитро  Віталійович </t>
  </si>
  <si>
    <t>Козачок  Павло  Анатолійович</t>
  </si>
  <si>
    <t>Курмаз  Ілля   Владиславович</t>
  </si>
  <si>
    <t xml:space="preserve">Лоза  Владислав  Дмитрович </t>
  </si>
  <si>
    <t xml:space="preserve">Мирошников  Сергій  Олексійович </t>
  </si>
  <si>
    <t xml:space="preserve">Роберман  Родіон  Олексійович </t>
  </si>
  <si>
    <t>Трофименко  Маргарита   Юріївна</t>
  </si>
  <si>
    <t xml:space="preserve">Фішер  Єгор  Дмитрович </t>
  </si>
  <si>
    <t xml:space="preserve">Чухалова  Вероніка  Володимирівна </t>
  </si>
  <si>
    <t>Шевченко  Руслан  Станіславович</t>
  </si>
  <si>
    <t>плагіат</t>
  </si>
  <si>
    <t>ІПЗ-21м</t>
  </si>
  <si>
    <t>ПІБ</t>
  </si>
  <si>
    <t>відвідування
занять 5 бал</t>
  </si>
  <si>
    <t>тест1
10</t>
  </si>
  <si>
    <t>реферат 20</t>
  </si>
  <si>
    <t>бізнес-кейс 30</t>
  </si>
  <si>
    <t>проект 35</t>
  </si>
  <si>
    <t>бонус</t>
  </si>
  <si>
    <t>разом 
за семестр</t>
  </si>
  <si>
    <t>Разом 
за іспит</t>
  </si>
  <si>
    <t>Підсумкова оцінка з дисципліни</t>
  </si>
  <si>
    <t>100-бальна шкала</t>
  </si>
  <si>
    <t>Нац. шкала</t>
  </si>
  <si>
    <t>Підсумкові 
бали за семестр</t>
  </si>
  <si>
    <t>тест3</t>
  </si>
  <si>
    <t>тест2
15</t>
  </si>
  <si>
    <t>термін 
-10% за кожний день просрочки з 11.12.2020</t>
  </si>
  <si>
    <t>термін 
-10% за кожний день просрочки з 14.12.2020</t>
  </si>
  <si>
    <t>термін
 -10% за кожний день просрочки з 17.12.2020</t>
  </si>
  <si>
    <t>іспит 40 балів</t>
  </si>
  <si>
    <t>тест3
20 балів</t>
  </si>
  <si>
    <t>бали у відомості</t>
  </si>
  <si>
    <t>креативність
7</t>
  </si>
  <si>
    <t>відповідність 
вимогам (зміст)
7</t>
  </si>
  <si>
    <t>оформлення
6</t>
  </si>
  <si>
    <t>разом за 
реферат</t>
  </si>
  <si>
    <t>Разом 
за бізнес-кейс</t>
  </si>
  <si>
    <t>Разом з
а проект</t>
  </si>
  <si>
    <t xml:space="preserve"> </t>
  </si>
  <si>
    <t>зміст
7</t>
  </si>
  <si>
    <t>реалізація
8</t>
  </si>
  <si>
    <t>креативність
8</t>
  </si>
  <si>
    <t>зміст
5</t>
  </si>
  <si>
    <t>реальність
3</t>
  </si>
  <si>
    <t>реалізація
9</t>
  </si>
  <si>
    <t>задача1
15 балів</t>
  </si>
  <si>
    <t>interview
questions
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</si>
</sst>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1"/>
      <color rgb="FF0000CC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b/>
      <sz val="10"/>
      <color rgb="FF0000CC"/>
      <name val="Calibri"/>
      <family val="2"/>
      <charset val="204"/>
      <scheme val="minor"/>
    </font>
    <font>
      <sz val="11"/>
      <color rgb="FF0000CC"/>
      <name val="Calibri"/>
      <family val="2"/>
      <charset val="204"/>
      <scheme val="minor"/>
    </font>
    <font>
      <sz val="8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CD9FF"/>
        <bgColor indexed="64"/>
      </patternFill>
    </fill>
    <fill>
      <patternFill patternType="solid">
        <fgColor rgb="FFBFFDB5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0" fillId="0" borderId="7" xfId="0" applyBorder="1"/>
    <xf numFmtId="0" fontId="1" fillId="0" borderId="9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0" fillId="4" borderId="1" xfId="0" applyFill="1" applyBorder="1"/>
    <xf numFmtId="0" fontId="0" fillId="4" borderId="5" xfId="0" applyFill="1" applyBorder="1"/>
    <xf numFmtId="0" fontId="6" fillId="5" borderId="9" xfId="0" applyFont="1" applyFill="1" applyBorder="1"/>
    <xf numFmtId="0" fontId="6" fillId="5" borderId="1" xfId="0" applyFont="1" applyFill="1" applyBorder="1"/>
    <xf numFmtId="0" fontId="6" fillId="5" borderId="22" xfId="0" applyFont="1" applyFill="1" applyBorder="1"/>
    <xf numFmtId="0" fontId="6" fillId="5" borderId="5" xfId="0" applyFont="1" applyFill="1" applyBorder="1"/>
    <xf numFmtId="0" fontId="0" fillId="6" borderId="2" xfId="0" applyFill="1" applyBorder="1"/>
    <xf numFmtId="0" fontId="0" fillId="6" borderId="1" xfId="0" applyFill="1" applyBorder="1"/>
    <xf numFmtId="0" fontId="0" fillId="6" borderId="7" xfId="0" applyFill="1" applyBorder="1"/>
    <xf numFmtId="0" fontId="1" fillId="0" borderId="0" xfId="0" applyFont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6" fillId="5" borderId="7" xfId="0" applyFont="1" applyFill="1" applyBorder="1"/>
    <xf numFmtId="0" fontId="6" fillId="5" borderId="7" xfId="0" applyFont="1" applyFill="1" applyBorder="1" applyAlignment="1">
      <alignment horizontal="center" vertical="center" wrapText="1"/>
    </xf>
    <xf numFmtId="2" fontId="4" fillId="0" borderId="1" xfId="0" applyNumberFormat="1" applyFont="1" applyBorder="1"/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" fontId="0" fillId="0" borderId="2" xfId="0" applyNumberFormat="1" applyBorder="1"/>
    <xf numFmtId="0" fontId="7" fillId="0" borderId="8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2" fontId="0" fillId="2" borderId="1" xfId="0" applyNumberFormat="1" applyFont="1" applyFill="1" applyBorder="1" applyAlignment="1">
      <alignment horizontal="center"/>
    </xf>
    <xf numFmtId="2" fontId="0" fillId="2" borderId="7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0" fillId="4" borderId="7" xfId="0" applyFill="1" applyBorder="1"/>
    <xf numFmtId="0" fontId="0" fillId="4" borderId="20" xfId="0" applyFill="1" applyBorder="1"/>
    <xf numFmtId="0" fontId="7" fillId="4" borderId="7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0" fillId="7" borderId="1" xfId="0" applyFill="1" applyBorder="1"/>
    <xf numFmtId="0" fontId="0" fillId="7" borderId="7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20" xfId="0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6" xfId="0" applyFont="1" applyFill="1" applyBorder="1"/>
    <xf numFmtId="0" fontId="3" fillId="0" borderId="27" xfId="0" applyFont="1" applyFill="1" applyBorder="1"/>
    <xf numFmtId="1" fontId="0" fillId="0" borderId="28" xfId="0" applyNumberFormat="1" applyFill="1" applyBorder="1"/>
    <xf numFmtId="0" fontId="0" fillId="0" borderId="29" xfId="0" applyFill="1" applyBorder="1"/>
    <xf numFmtId="0" fontId="8" fillId="0" borderId="21" xfId="0" applyFont="1" applyBorder="1" applyAlignment="1">
      <alignment horizontal="center" vertical="center" wrapText="1"/>
    </xf>
    <xf numFmtId="1" fontId="0" fillId="0" borderId="21" xfId="0" applyNumberFormat="1" applyBorder="1"/>
    <xf numFmtId="1" fontId="0" fillId="0" borderId="0" xfId="0" applyNumberFormat="1" applyFill="1" applyBorder="1"/>
    <xf numFmtId="0" fontId="2" fillId="0" borderId="1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6" fillId="5" borderId="17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8" fillId="0" borderId="1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0" fillId="8" borderId="0" xfId="0" applyFill="1"/>
    <xf numFmtId="14" fontId="0" fillId="4" borderId="7" xfId="0" applyNumberFormat="1" applyFill="1" applyBorder="1"/>
    <xf numFmtId="0" fontId="7" fillId="6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0" fillId="6" borderId="7" xfId="0" applyNumberFormat="1" applyFill="1" applyBorder="1"/>
    <xf numFmtId="0" fontId="7" fillId="8" borderId="3" xfId="0" applyFont="1" applyFill="1" applyBorder="1" applyAlignment="1">
      <alignment horizontal="center" vertical="center" wrapText="1"/>
    </xf>
    <xf numFmtId="0" fontId="0" fillId="8" borderId="3" xfId="0" applyFill="1" applyBorder="1"/>
    <xf numFmtId="0" fontId="7" fillId="7" borderId="2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9" fontId="0" fillId="7" borderId="7" xfId="0" applyNumberFormat="1" applyFill="1" applyBorder="1"/>
    <xf numFmtId="14" fontId="0" fillId="7" borderId="2" xfId="0" applyNumberFormat="1" applyFill="1" applyBorder="1"/>
    <xf numFmtId="14" fontId="0" fillId="7" borderId="7" xfId="0" applyNumberFormat="1" applyFill="1" applyBorder="1"/>
    <xf numFmtId="14" fontId="0" fillId="7" borderId="20" xfId="0" applyNumberFormat="1" applyFill="1" applyBorder="1"/>
    <xf numFmtId="0" fontId="12" fillId="8" borderId="3" xfId="0" applyFont="1" applyFill="1" applyBorder="1" applyAlignment="1">
      <alignment horizontal="center" vertical="center" wrapText="1"/>
    </xf>
    <xf numFmtId="0" fontId="13" fillId="8" borderId="3" xfId="0" applyFont="1" applyFill="1" applyBorder="1"/>
    <xf numFmtId="0" fontId="7" fillId="8" borderId="7" xfId="0" applyFont="1" applyFill="1" applyBorder="1" applyAlignment="1">
      <alignment horizontal="center" vertical="center" wrapText="1"/>
    </xf>
    <xf numFmtId="0" fontId="0" fillId="8" borderId="7" xfId="0" applyFill="1" applyBorder="1"/>
    <xf numFmtId="9" fontId="0" fillId="3" borderId="7" xfId="0" applyNumberFormat="1" applyFill="1" applyBorder="1"/>
    <xf numFmtId="1" fontId="0" fillId="3" borderId="2" xfId="0" applyNumberFormat="1" applyFill="1" applyBorder="1"/>
    <xf numFmtId="0" fontId="3" fillId="8" borderId="7" xfId="0" applyFont="1" applyFill="1" applyBorder="1" applyAlignment="1">
      <alignment horizontal="center" vertical="center" wrapText="1"/>
    </xf>
    <xf numFmtId="0" fontId="3" fillId="8" borderId="7" xfId="0" applyFont="1" applyFill="1" applyBorder="1"/>
    <xf numFmtId="0" fontId="12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1" fontId="13" fillId="0" borderId="1" xfId="0" applyNumberFormat="1" applyFont="1" applyBorder="1"/>
    <xf numFmtId="0" fontId="1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00CC"/>
      <color rgb="FFBFFDB5"/>
      <color rgb="FFE6FEDA"/>
      <color rgb="FFECD9FF"/>
      <color rgb="FFFFEEDD"/>
      <color rgb="FFEBFFFF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130" zoomScaleNormal="130" workbookViewId="0">
      <selection activeCell="D10" sqref="D10"/>
    </sheetView>
  </sheetViews>
  <sheetFormatPr defaultRowHeight="15" x14ac:dyDescent="0.25"/>
  <cols>
    <col min="1" max="1" width="29.7109375" customWidth="1"/>
  </cols>
  <sheetData>
    <row r="1" spans="1:5" ht="47.25" customHeight="1" x14ac:dyDescent="0.3">
      <c r="A1" s="62" t="s">
        <v>9</v>
      </c>
      <c r="B1" s="63"/>
      <c r="C1" s="63"/>
      <c r="D1" s="63"/>
      <c r="E1" s="64"/>
    </row>
    <row r="2" spans="1:5" ht="39" customHeight="1" x14ac:dyDescent="0.3">
      <c r="A2" s="67" t="s">
        <v>1</v>
      </c>
      <c r="B2" s="65" t="s">
        <v>10</v>
      </c>
      <c r="C2" s="65"/>
      <c r="D2" s="65"/>
      <c r="E2" s="66"/>
    </row>
    <row r="3" spans="1:5" x14ac:dyDescent="0.25">
      <c r="A3" s="67"/>
      <c r="B3" s="10" t="s">
        <v>0</v>
      </c>
      <c r="C3" s="2" t="s">
        <v>0</v>
      </c>
      <c r="D3" s="3" t="s">
        <v>0</v>
      </c>
      <c r="E3" s="3" t="s">
        <v>0</v>
      </c>
    </row>
    <row r="4" spans="1:5" x14ac:dyDescent="0.25">
      <c r="A4" s="4" t="s">
        <v>2</v>
      </c>
      <c r="B4" s="1">
        <v>5</v>
      </c>
      <c r="C4" s="1">
        <v>5</v>
      </c>
      <c r="D4" s="5">
        <v>5</v>
      </c>
      <c r="E4" s="5">
        <v>5</v>
      </c>
    </row>
    <row r="5" spans="1:5" x14ac:dyDescent="0.25">
      <c r="A5" s="4" t="s">
        <v>3</v>
      </c>
      <c r="B5" s="1">
        <v>10</v>
      </c>
      <c r="C5" s="1">
        <v>10</v>
      </c>
      <c r="D5" s="5">
        <v>10</v>
      </c>
      <c r="E5" s="5">
        <v>10</v>
      </c>
    </row>
    <row r="6" spans="1:5" x14ac:dyDescent="0.25">
      <c r="A6" s="4" t="s">
        <v>4</v>
      </c>
      <c r="B6" s="1">
        <v>15</v>
      </c>
      <c r="C6" s="1">
        <v>15</v>
      </c>
      <c r="D6" s="1">
        <v>15</v>
      </c>
      <c r="E6" s="1">
        <v>15</v>
      </c>
    </row>
    <row r="7" spans="1:5" x14ac:dyDescent="0.25">
      <c r="A7" s="4" t="s">
        <v>43</v>
      </c>
      <c r="B7" s="1"/>
      <c r="C7" s="1"/>
      <c r="D7" s="9"/>
      <c r="E7" s="5">
        <v>20</v>
      </c>
    </row>
    <row r="8" spans="1:5" x14ac:dyDescent="0.25">
      <c r="A8" s="4" t="s">
        <v>5</v>
      </c>
      <c r="B8" s="1">
        <v>20</v>
      </c>
      <c r="C8" s="1"/>
      <c r="D8" s="9"/>
      <c r="E8" s="5"/>
    </row>
    <row r="9" spans="1:5" x14ac:dyDescent="0.25">
      <c r="A9" s="4" t="s">
        <v>6</v>
      </c>
      <c r="B9" s="1"/>
      <c r="C9" s="1">
        <v>30</v>
      </c>
      <c r="D9" s="9"/>
      <c r="E9" s="5"/>
    </row>
    <row r="10" spans="1:5" x14ac:dyDescent="0.25">
      <c r="A10" s="4" t="s">
        <v>7</v>
      </c>
      <c r="B10" s="1"/>
      <c r="C10" s="1"/>
      <c r="D10" s="9">
        <v>35</v>
      </c>
      <c r="E10" s="5"/>
    </row>
    <row r="11" spans="1:5" x14ac:dyDescent="0.25">
      <c r="A11" s="4"/>
      <c r="B11" s="1"/>
      <c r="C11" s="1"/>
      <c r="D11" s="9"/>
      <c r="E11" s="5"/>
    </row>
    <row r="12" spans="1:5" ht="15.75" thickBot="1" x14ac:dyDescent="0.3">
      <c r="A12" s="6" t="s">
        <v>8</v>
      </c>
      <c r="B12" s="7">
        <f>SUM(B4:B11)</f>
        <v>50</v>
      </c>
      <c r="C12" s="7">
        <f>SUM(C4:C11)</f>
        <v>60</v>
      </c>
      <c r="D12" s="8">
        <f>SUM(D4:D11)</f>
        <v>65</v>
      </c>
      <c r="E12" s="8">
        <f>SUM(E4:E11)</f>
        <v>50</v>
      </c>
    </row>
  </sheetData>
  <mergeCells count="3">
    <mergeCell ref="A1:E1"/>
    <mergeCell ref="B2:E2"/>
    <mergeCell ref="A2:A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25"/>
  <sheetViews>
    <sheetView tabSelected="1" topLeftCell="A2" zoomScale="115" zoomScaleNormal="115" workbookViewId="0">
      <pane xSplit="2" topLeftCell="Z1" activePane="topRight" state="frozen"/>
      <selection pane="topRight" activeCell="AA2" sqref="AA2"/>
    </sheetView>
  </sheetViews>
  <sheetFormatPr defaultRowHeight="15" outlineLevelRow="1" x14ac:dyDescent="0.25"/>
  <cols>
    <col min="1" max="1" width="5" customWidth="1"/>
    <col min="2" max="2" width="35.85546875" customWidth="1"/>
    <col min="3" max="3" width="11.42578125" customWidth="1"/>
    <col min="7" max="7" width="12.42578125" customWidth="1"/>
    <col min="8" max="8" width="12" customWidth="1"/>
    <col min="9" max="10" width="12.7109375" customWidth="1"/>
    <col min="13" max="13" width="11.7109375" customWidth="1"/>
    <col min="14" max="14" width="12" customWidth="1"/>
    <col min="15" max="15" width="11.140625" customWidth="1"/>
    <col min="16" max="17" width="11.42578125" customWidth="1"/>
    <col min="20" max="20" width="10.5703125" customWidth="1"/>
    <col min="21" max="21" width="11.5703125" customWidth="1"/>
    <col min="22" max="22" width="12.28515625" customWidth="1"/>
    <col min="23" max="23" width="10.7109375" customWidth="1"/>
    <col min="24" max="24" width="14.5703125" customWidth="1"/>
    <col min="25" max="25" width="10.7109375" customWidth="1"/>
    <col min="27" max="27" width="12.140625" customWidth="1"/>
    <col min="28" max="28" width="15.42578125" customWidth="1"/>
    <col min="31" max="31" width="11.28515625" customWidth="1"/>
    <col min="36" max="36" width="13.85546875" customWidth="1"/>
  </cols>
  <sheetData>
    <row r="1" spans="1:36" s="22" customFormat="1" ht="43.5" customHeight="1" x14ac:dyDescent="0.25">
      <c r="B1" s="23" t="s">
        <v>29</v>
      </c>
      <c r="C1" s="78" t="s">
        <v>31</v>
      </c>
      <c r="D1" s="80" t="s">
        <v>32</v>
      </c>
      <c r="E1" s="82" t="s">
        <v>44</v>
      </c>
      <c r="F1" s="74" t="s">
        <v>33</v>
      </c>
      <c r="G1" s="75"/>
      <c r="H1" s="75"/>
      <c r="I1" s="76"/>
      <c r="J1" s="76"/>
      <c r="K1" s="77"/>
      <c r="L1" s="84" t="s">
        <v>34</v>
      </c>
      <c r="M1" s="85"/>
      <c r="N1" s="85"/>
      <c r="O1" s="85"/>
      <c r="P1" s="86"/>
      <c r="Q1" s="86"/>
      <c r="R1" s="87"/>
      <c r="S1" s="88" t="s">
        <v>35</v>
      </c>
      <c r="T1" s="89"/>
      <c r="U1" s="89"/>
      <c r="V1" s="89"/>
      <c r="W1" s="90"/>
      <c r="X1" s="90"/>
      <c r="Y1" s="90"/>
      <c r="Z1" s="91"/>
      <c r="AA1" s="31" t="s">
        <v>42</v>
      </c>
      <c r="AC1" s="68" t="s">
        <v>48</v>
      </c>
      <c r="AD1" s="69"/>
      <c r="AE1" s="70"/>
      <c r="AF1" s="70"/>
      <c r="AG1" s="70"/>
      <c r="AH1" s="71" t="s">
        <v>39</v>
      </c>
      <c r="AI1" s="72"/>
      <c r="AJ1" s="73"/>
    </row>
    <row r="2" spans="1:36" s="22" customFormat="1" ht="90" customHeight="1" thickBot="1" x14ac:dyDescent="0.3">
      <c r="B2" s="24" t="s">
        <v>30</v>
      </c>
      <c r="C2" s="79"/>
      <c r="D2" s="81"/>
      <c r="E2" s="83"/>
      <c r="F2" s="41" t="s">
        <v>52</v>
      </c>
      <c r="G2" s="92" t="s">
        <v>53</v>
      </c>
      <c r="H2" s="92" t="s">
        <v>51</v>
      </c>
      <c r="I2" s="40" t="s">
        <v>45</v>
      </c>
      <c r="J2" s="42" t="s">
        <v>28</v>
      </c>
      <c r="K2" s="106" t="s">
        <v>54</v>
      </c>
      <c r="L2" s="95" t="s">
        <v>58</v>
      </c>
      <c r="M2" s="96" t="s">
        <v>63</v>
      </c>
      <c r="N2" s="96" t="s">
        <v>53</v>
      </c>
      <c r="O2" s="96" t="s">
        <v>60</v>
      </c>
      <c r="P2" s="43" t="s">
        <v>46</v>
      </c>
      <c r="Q2" s="44" t="s">
        <v>28</v>
      </c>
      <c r="R2" s="98" t="s">
        <v>55</v>
      </c>
      <c r="S2" s="100" t="s">
        <v>61</v>
      </c>
      <c r="T2" s="101" t="s">
        <v>59</v>
      </c>
      <c r="U2" s="101" t="s">
        <v>53</v>
      </c>
      <c r="V2" s="46" t="s">
        <v>60</v>
      </c>
      <c r="W2" s="46" t="s">
        <v>62</v>
      </c>
      <c r="X2" s="46" t="s">
        <v>47</v>
      </c>
      <c r="Y2" s="45" t="s">
        <v>28</v>
      </c>
      <c r="Z2" s="108" t="s">
        <v>56</v>
      </c>
      <c r="AA2" s="114" t="s">
        <v>37</v>
      </c>
      <c r="AB2" s="115" t="s">
        <v>50</v>
      </c>
      <c r="AC2" s="53" t="s">
        <v>49</v>
      </c>
      <c r="AD2" s="54" t="s">
        <v>64</v>
      </c>
      <c r="AE2" s="26" t="s">
        <v>65</v>
      </c>
      <c r="AF2" s="26" t="s">
        <v>36</v>
      </c>
      <c r="AG2" s="112" t="s">
        <v>38</v>
      </c>
      <c r="AH2" s="28" t="s">
        <v>40</v>
      </c>
      <c r="AI2" s="59"/>
      <c r="AJ2" s="29" t="s">
        <v>41</v>
      </c>
    </row>
    <row r="3" spans="1:36" outlineLevel="1" x14ac:dyDescent="0.25">
      <c r="A3">
        <v>1</v>
      </c>
      <c r="B3" s="12" t="s">
        <v>11</v>
      </c>
      <c r="C3" s="37">
        <v>5</v>
      </c>
      <c r="D3" s="33">
        <f>10/28*10</f>
        <v>3.5714285714285716</v>
      </c>
      <c r="E3" s="34">
        <f>6/40*15</f>
        <v>2.25</v>
      </c>
      <c r="F3" s="13">
        <f>6+7</f>
        <v>13</v>
      </c>
      <c r="G3" s="13">
        <f>3+3</f>
        <v>6</v>
      </c>
      <c r="H3" s="13">
        <f>5+7</f>
        <v>12</v>
      </c>
      <c r="I3" s="94">
        <v>44182</v>
      </c>
      <c r="J3" s="38"/>
      <c r="K3" s="107">
        <f>SUM(F3:H3)-J3</f>
        <v>31</v>
      </c>
      <c r="L3" s="19"/>
      <c r="M3" s="20"/>
      <c r="N3" s="20"/>
      <c r="O3" s="20"/>
      <c r="P3" s="97"/>
      <c r="Q3" s="21"/>
      <c r="R3" s="99">
        <f>SUM(L3:O3)-Q3</f>
        <v>0</v>
      </c>
      <c r="S3" s="47">
        <v>5</v>
      </c>
      <c r="T3" s="47">
        <v>8</v>
      </c>
      <c r="U3" s="47">
        <v>5</v>
      </c>
      <c r="V3" s="47">
        <v>7</v>
      </c>
      <c r="W3" s="47">
        <v>2</v>
      </c>
      <c r="X3" s="103">
        <v>44182</v>
      </c>
      <c r="Y3" s="49"/>
      <c r="Z3" s="109">
        <f>SUM(S3:W3)-Y3</f>
        <v>27</v>
      </c>
      <c r="AA3" s="116">
        <f>ROUND(SUM(C3:E3,K3,R3,Z3),0)</f>
        <v>69</v>
      </c>
      <c r="AB3" s="117"/>
      <c r="AC3" s="15"/>
      <c r="AD3" s="16"/>
      <c r="AE3" s="25"/>
      <c r="AF3" s="25"/>
      <c r="AG3" s="113">
        <f>SUM(AC3:AD3)</f>
        <v>0</v>
      </c>
      <c r="AH3" s="30">
        <f>ROUND(SUM(AA3,AG3),0)</f>
        <v>69</v>
      </c>
      <c r="AI3" s="60"/>
      <c r="AJ3" s="5" t="str">
        <f>IF(AH3&gt;=90,"відмінно",IF(AND(AH3&gt;=75,AH3&lt;90),"добре",IF(AND(AH3&gt;=60,AH3&lt;75),"задовільно","незадовільно")))</f>
        <v>задовільно</v>
      </c>
    </row>
    <row r="4" spans="1:36" outlineLevel="1" x14ac:dyDescent="0.25">
      <c r="A4" s="93">
        <v>2</v>
      </c>
      <c r="B4" s="11" t="s">
        <v>12</v>
      </c>
      <c r="C4" s="32">
        <v>0</v>
      </c>
      <c r="D4" s="33">
        <f>0/28*10</f>
        <v>0</v>
      </c>
      <c r="E4" s="34">
        <f>9/40*15</f>
        <v>3.375</v>
      </c>
      <c r="F4" s="13"/>
      <c r="G4" s="13"/>
      <c r="H4" s="13"/>
      <c r="I4" s="94"/>
      <c r="J4" s="38"/>
      <c r="K4" s="107"/>
      <c r="L4" s="19"/>
      <c r="M4" s="20"/>
      <c r="N4" s="20"/>
      <c r="O4" s="20"/>
      <c r="P4" s="97"/>
      <c r="Q4" s="21"/>
      <c r="R4" s="99">
        <f>SUM(L4:O4)-Q4-P4</f>
        <v>0</v>
      </c>
      <c r="S4" s="47"/>
      <c r="T4" s="48"/>
      <c r="U4" s="48"/>
      <c r="V4" s="48"/>
      <c r="W4" s="49"/>
      <c r="X4" s="104"/>
      <c r="Y4" s="49"/>
      <c r="Z4" s="109">
        <f t="shared" ref="Z4:Z19" si="0">SUM(S4:W4)-Y4</f>
        <v>0</v>
      </c>
      <c r="AA4" s="116">
        <f t="shared" ref="AA4:AA19" si="1">ROUND(SUM(C4:E4,K4,R4,Z4),0)</f>
        <v>3</v>
      </c>
      <c r="AB4" s="117"/>
      <c r="AC4" s="15"/>
      <c r="AD4" s="16"/>
      <c r="AE4" s="25"/>
      <c r="AF4" s="25"/>
      <c r="AG4" s="113">
        <f>SUM(AC4:AD4)</f>
        <v>0</v>
      </c>
      <c r="AH4" s="111">
        <f>SUM(AA4,AG4)</f>
        <v>3</v>
      </c>
      <c r="AI4" s="60"/>
      <c r="AJ4" s="5" t="str">
        <f t="shared" ref="AJ4:AJ20" si="2">IF(AH4&gt;=90,"відмінно",IF(AND(AH4&gt;=75,AH4&lt;90),"добре",IF(AND(AH4&gt;=60,AH4&lt;75),"задовільно","незадовільно")))</f>
        <v>незадовільно</v>
      </c>
    </row>
    <row r="5" spans="1:36" outlineLevel="1" x14ac:dyDescent="0.25">
      <c r="A5">
        <v>3</v>
      </c>
      <c r="B5" s="11" t="s">
        <v>13</v>
      </c>
      <c r="C5" s="32">
        <v>0</v>
      </c>
      <c r="D5" s="33">
        <f>8/28*10</f>
        <v>2.8571428571428568</v>
      </c>
      <c r="E5" s="34">
        <f>21/40*15</f>
        <v>7.875</v>
      </c>
      <c r="F5" s="13">
        <v>7</v>
      </c>
      <c r="G5" s="13">
        <v>3</v>
      </c>
      <c r="H5" s="13">
        <v>4</v>
      </c>
      <c r="I5" s="94">
        <v>44180</v>
      </c>
      <c r="J5" s="38"/>
      <c r="K5" s="107">
        <f t="shared" ref="K5:K19" si="3">SUM(F5:H5)-J5</f>
        <v>14</v>
      </c>
      <c r="L5" s="19"/>
      <c r="M5" s="20"/>
      <c r="N5" s="20"/>
      <c r="O5" s="20"/>
      <c r="P5" s="97"/>
      <c r="Q5" s="21"/>
      <c r="R5" s="99">
        <f>SUM(L5:O5)-Q5-P5</f>
        <v>0</v>
      </c>
      <c r="S5" s="47"/>
      <c r="T5" s="48"/>
      <c r="U5" s="48"/>
      <c r="V5" s="48"/>
      <c r="W5" s="49"/>
      <c r="X5" s="104"/>
      <c r="Y5" s="49"/>
      <c r="Z5" s="109">
        <f t="shared" si="0"/>
        <v>0</v>
      </c>
      <c r="AA5" s="116">
        <f t="shared" si="1"/>
        <v>25</v>
      </c>
      <c r="AB5" s="117"/>
      <c r="AC5" s="15"/>
      <c r="AD5" s="16"/>
      <c r="AE5" s="25"/>
      <c r="AF5" s="25"/>
      <c r="AG5" s="113">
        <f>SUM(AC5:AD5)</f>
        <v>0</v>
      </c>
      <c r="AH5" s="30">
        <f>SUM(AA5,AG5)</f>
        <v>25</v>
      </c>
      <c r="AI5" s="60"/>
      <c r="AJ5" s="5" t="str">
        <f t="shared" si="2"/>
        <v>незадовільно</v>
      </c>
    </row>
    <row r="6" spans="1:36" outlineLevel="1" x14ac:dyDescent="0.25">
      <c r="A6" s="93">
        <v>4</v>
      </c>
      <c r="B6" s="11" t="s">
        <v>14</v>
      </c>
      <c r="C6" s="32">
        <v>0</v>
      </c>
      <c r="D6" s="33">
        <f>15/28*10</f>
        <v>5.3571428571428568</v>
      </c>
      <c r="E6" s="34">
        <f>34/40*15</f>
        <v>12.75</v>
      </c>
      <c r="F6" s="13">
        <v>7</v>
      </c>
      <c r="G6" s="13">
        <v>5</v>
      </c>
      <c r="H6" s="13">
        <v>5</v>
      </c>
      <c r="I6" s="94">
        <v>44181</v>
      </c>
      <c r="J6" s="38"/>
      <c r="K6" s="107">
        <f t="shared" si="3"/>
        <v>17</v>
      </c>
      <c r="L6" s="19"/>
      <c r="M6" s="20"/>
      <c r="N6" s="20"/>
      <c r="O6" s="20"/>
      <c r="P6" s="97"/>
      <c r="Q6" s="21"/>
      <c r="R6" s="99">
        <f>SUM(L6:O6)-Q6-P6</f>
        <v>0</v>
      </c>
      <c r="S6" s="47"/>
      <c r="T6" s="48"/>
      <c r="U6" s="48"/>
      <c r="V6" s="48"/>
      <c r="W6" s="49"/>
      <c r="X6" s="104"/>
      <c r="Y6" s="49"/>
      <c r="Z6" s="109">
        <f t="shared" si="0"/>
        <v>0</v>
      </c>
      <c r="AA6" s="116">
        <f t="shared" si="1"/>
        <v>35</v>
      </c>
      <c r="AB6" s="117"/>
      <c r="AC6" s="15"/>
      <c r="AD6" s="16"/>
      <c r="AE6" s="25"/>
      <c r="AF6" s="25"/>
      <c r="AG6" s="113">
        <f>SUM(AC6:AD6)</f>
        <v>0</v>
      </c>
      <c r="AH6" s="30">
        <f>SUM(AA6,AG6)</f>
        <v>35</v>
      </c>
      <c r="AI6" s="60"/>
      <c r="AJ6" s="5" t="str">
        <f t="shared" si="2"/>
        <v>незадовільно</v>
      </c>
    </row>
    <row r="7" spans="1:36" outlineLevel="1" x14ac:dyDescent="0.25">
      <c r="A7">
        <v>5</v>
      </c>
      <c r="B7" s="11" t="s">
        <v>15</v>
      </c>
      <c r="C7" s="37">
        <v>5</v>
      </c>
      <c r="D7" s="33">
        <f>6/28*10</f>
        <v>2.1428571428571428</v>
      </c>
      <c r="E7" s="34">
        <f>28/40*15</f>
        <v>10.5</v>
      </c>
      <c r="F7" s="13">
        <v>7</v>
      </c>
      <c r="G7" s="13">
        <v>6</v>
      </c>
      <c r="H7" s="13">
        <v>7</v>
      </c>
      <c r="I7" s="94">
        <v>44174</v>
      </c>
      <c r="J7" s="38"/>
      <c r="K7" s="107">
        <f t="shared" si="3"/>
        <v>20</v>
      </c>
      <c r="L7" s="19"/>
      <c r="M7" s="20"/>
      <c r="N7" s="20"/>
      <c r="O7" s="20"/>
      <c r="P7" s="97"/>
      <c r="Q7" s="21"/>
      <c r="R7" s="99">
        <f>SUM(L7:O7)-Q7</f>
        <v>0</v>
      </c>
      <c r="S7" s="47">
        <v>5</v>
      </c>
      <c r="T7" s="47">
        <v>8</v>
      </c>
      <c r="U7" s="47">
        <v>5</v>
      </c>
      <c r="V7" s="47">
        <v>7</v>
      </c>
      <c r="W7" s="47">
        <v>2</v>
      </c>
      <c r="X7" s="103">
        <v>44182</v>
      </c>
      <c r="Y7" s="49"/>
      <c r="Z7" s="109">
        <f t="shared" si="0"/>
        <v>27</v>
      </c>
      <c r="AA7" s="116">
        <f t="shared" si="1"/>
        <v>65</v>
      </c>
      <c r="AB7" s="117"/>
      <c r="AC7" s="15"/>
      <c r="AD7" s="16"/>
      <c r="AE7" s="25"/>
      <c r="AF7" s="25"/>
      <c r="AG7" s="113">
        <f>SUM(AC7:AD7)</f>
        <v>0</v>
      </c>
      <c r="AH7" s="30">
        <f>SUM(AA7,AG7)</f>
        <v>65</v>
      </c>
      <c r="AI7" s="60"/>
      <c r="AJ7" s="5" t="str">
        <f t="shared" si="2"/>
        <v>задовільно</v>
      </c>
    </row>
    <row r="8" spans="1:36" outlineLevel="1" x14ac:dyDescent="0.25">
      <c r="A8">
        <v>6</v>
      </c>
      <c r="B8" s="11" t="s">
        <v>16</v>
      </c>
      <c r="C8" s="32">
        <v>0</v>
      </c>
      <c r="D8" s="33">
        <f>13/28*10</f>
        <v>4.6428571428571432</v>
      </c>
      <c r="E8" s="34">
        <f>23/40*15</f>
        <v>8.625</v>
      </c>
      <c r="F8" s="13">
        <v>5</v>
      </c>
      <c r="G8" s="13">
        <v>3</v>
      </c>
      <c r="H8" s="13">
        <v>4</v>
      </c>
      <c r="I8" s="94">
        <v>44182</v>
      </c>
      <c r="J8" s="38"/>
      <c r="K8" s="107">
        <f t="shared" si="3"/>
        <v>12</v>
      </c>
      <c r="L8" s="19"/>
      <c r="M8" s="20"/>
      <c r="N8" s="20"/>
      <c r="O8" s="20"/>
      <c r="P8" s="97"/>
      <c r="Q8" s="21"/>
      <c r="R8" s="99">
        <f>SUM(L8:O8)-Q8-P8</f>
        <v>0</v>
      </c>
      <c r="S8" s="47"/>
      <c r="T8" s="48"/>
      <c r="U8" s="48"/>
      <c r="V8" s="48"/>
      <c r="W8" s="49"/>
      <c r="X8" s="104"/>
      <c r="Y8" s="49"/>
      <c r="Z8" s="109">
        <f t="shared" si="0"/>
        <v>0</v>
      </c>
      <c r="AA8" s="116">
        <f t="shared" si="1"/>
        <v>25</v>
      </c>
      <c r="AB8" s="117"/>
      <c r="AC8" s="15"/>
      <c r="AD8" s="16"/>
      <c r="AE8" s="25"/>
      <c r="AF8" s="25"/>
      <c r="AG8" s="113">
        <f>SUM(AC8:AD8)</f>
        <v>0</v>
      </c>
      <c r="AH8" s="30">
        <f>SUM(AA8,AG8)</f>
        <v>25</v>
      </c>
      <c r="AI8" s="60"/>
      <c r="AJ8" s="5" t="str">
        <f t="shared" si="2"/>
        <v>незадовільно</v>
      </c>
    </row>
    <row r="9" spans="1:36" outlineLevel="1" x14ac:dyDescent="0.25">
      <c r="A9" s="93">
        <v>7</v>
      </c>
      <c r="B9" s="11" t="s">
        <v>17</v>
      </c>
      <c r="C9" s="32">
        <v>0</v>
      </c>
      <c r="D9" s="33">
        <f>14/28*10</f>
        <v>5</v>
      </c>
      <c r="E9" s="34">
        <f>34/40*15</f>
        <v>12.75</v>
      </c>
      <c r="F9" s="13">
        <v>7</v>
      </c>
      <c r="G9" s="13">
        <v>6</v>
      </c>
      <c r="H9" s="13">
        <v>7</v>
      </c>
      <c r="I9" s="94">
        <v>44181</v>
      </c>
      <c r="J9" s="38"/>
      <c r="K9" s="107">
        <f t="shared" si="3"/>
        <v>20</v>
      </c>
      <c r="L9" s="19"/>
      <c r="M9" s="20"/>
      <c r="N9" s="20"/>
      <c r="O9" s="20"/>
      <c r="P9" s="97"/>
      <c r="Q9" s="21"/>
      <c r="R9" s="99">
        <f>SUM(L9:O9)-Q9-P9</f>
        <v>0</v>
      </c>
      <c r="S9" s="47"/>
      <c r="T9" s="48"/>
      <c r="U9" s="48"/>
      <c r="V9" s="48"/>
      <c r="W9" s="49"/>
      <c r="X9" s="104"/>
      <c r="Y9" s="49"/>
      <c r="Z9" s="109">
        <f t="shared" si="0"/>
        <v>0</v>
      </c>
      <c r="AA9" s="116">
        <f t="shared" si="1"/>
        <v>38</v>
      </c>
      <c r="AB9" s="117"/>
      <c r="AC9" s="15"/>
      <c r="AD9" s="16"/>
      <c r="AE9" s="25"/>
      <c r="AF9" s="25"/>
      <c r="AG9" s="113">
        <f>SUM(AC9:AD9)</f>
        <v>0</v>
      </c>
      <c r="AH9" s="30">
        <f>SUM(AA9,AG9)</f>
        <v>38</v>
      </c>
      <c r="AI9" s="60"/>
      <c r="AJ9" s="5" t="str">
        <f t="shared" si="2"/>
        <v>незадовільно</v>
      </c>
    </row>
    <row r="10" spans="1:36" outlineLevel="1" x14ac:dyDescent="0.25">
      <c r="A10">
        <v>8</v>
      </c>
      <c r="B10" s="11" t="s">
        <v>18</v>
      </c>
      <c r="C10" s="32">
        <v>0</v>
      </c>
      <c r="D10" s="33">
        <f>12/28*10</f>
        <v>4.2857142857142856</v>
      </c>
      <c r="E10" s="34">
        <f>31/40*15</f>
        <v>11.625</v>
      </c>
      <c r="F10" s="13">
        <v>7</v>
      </c>
      <c r="G10" s="13">
        <v>3</v>
      </c>
      <c r="H10" s="13">
        <v>5</v>
      </c>
      <c r="I10" s="94">
        <v>44181</v>
      </c>
      <c r="J10" s="38"/>
      <c r="K10" s="107">
        <f t="shared" si="3"/>
        <v>15</v>
      </c>
      <c r="L10" s="19"/>
      <c r="M10" s="20"/>
      <c r="N10" s="20"/>
      <c r="O10" s="20"/>
      <c r="P10" s="97"/>
      <c r="Q10" s="21"/>
      <c r="R10" s="99">
        <f>SUM(L10:O10)-Q10-P10</f>
        <v>0</v>
      </c>
      <c r="S10" s="47"/>
      <c r="T10" s="48"/>
      <c r="U10" s="48"/>
      <c r="V10" s="48"/>
      <c r="W10" s="49"/>
      <c r="X10" s="104"/>
      <c r="Y10" s="49"/>
      <c r="Z10" s="109">
        <f t="shared" si="0"/>
        <v>0</v>
      </c>
      <c r="AA10" s="116">
        <f t="shared" si="1"/>
        <v>31</v>
      </c>
      <c r="AB10" s="117"/>
      <c r="AC10" s="15"/>
      <c r="AD10" s="16"/>
      <c r="AE10" s="25"/>
      <c r="AF10" s="25"/>
      <c r="AG10" s="113">
        <f>SUM(AC10:AD10)</f>
        <v>0</v>
      </c>
      <c r="AH10" s="30">
        <f>SUM(AA10,AG10)</f>
        <v>31</v>
      </c>
      <c r="AI10" s="60"/>
      <c r="AJ10" s="5" t="str">
        <f t="shared" si="2"/>
        <v>незадовільно</v>
      </c>
    </row>
    <row r="11" spans="1:36" outlineLevel="1" x14ac:dyDescent="0.25">
      <c r="A11">
        <v>9</v>
      </c>
      <c r="B11" s="36" t="s">
        <v>19</v>
      </c>
      <c r="C11" s="32">
        <v>0</v>
      </c>
      <c r="D11" s="33">
        <f>0/28*10</f>
        <v>0</v>
      </c>
      <c r="E11" s="34">
        <f>0/40*15</f>
        <v>0</v>
      </c>
      <c r="F11" s="13"/>
      <c r="G11" s="13"/>
      <c r="H11" s="13"/>
      <c r="I11" s="38"/>
      <c r="J11" s="38"/>
      <c r="K11" s="107">
        <f t="shared" si="3"/>
        <v>0</v>
      </c>
      <c r="L11" s="19"/>
      <c r="M11" s="20"/>
      <c r="N11" s="20"/>
      <c r="O11" s="20"/>
      <c r="P11" s="97"/>
      <c r="Q11" s="21"/>
      <c r="R11" s="99">
        <f>SUM(L11:O11)-Q11-P11</f>
        <v>0</v>
      </c>
      <c r="S11" s="47"/>
      <c r="T11" s="48"/>
      <c r="U11" s="48"/>
      <c r="V11" s="48"/>
      <c r="W11" s="49"/>
      <c r="X11" s="104"/>
      <c r="Y11" s="49"/>
      <c r="Z11" s="109">
        <f t="shared" si="0"/>
        <v>0</v>
      </c>
      <c r="AA11" s="116">
        <f t="shared" si="1"/>
        <v>0</v>
      </c>
      <c r="AB11" s="117"/>
      <c r="AC11" s="15"/>
      <c r="AD11" s="16"/>
      <c r="AE11" s="25"/>
      <c r="AF11" s="25"/>
      <c r="AG11" s="113">
        <f>SUM(AC11:AD11)</f>
        <v>0</v>
      </c>
      <c r="AH11" s="111">
        <f>SUM(AA11,AG11)</f>
        <v>0</v>
      </c>
      <c r="AI11" s="60"/>
      <c r="AJ11" s="5" t="str">
        <f t="shared" si="2"/>
        <v>незадовільно</v>
      </c>
    </row>
    <row r="12" spans="1:36" outlineLevel="1" x14ac:dyDescent="0.25">
      <c r="A12">
        <v>10</v>
      </c>
      <c r="B12" s="11" t="s">
        <v>20</v>
      </c>
      <c r="C12" s="32">
        <v>0</v>
      </c>
      <c r="D12" s="33">
        <f>12/28*10</f>
        <v>4.2857142857142856</v>
      </c>
      <c r="E12" s="34">
        <f>30/40*15</f>
        <v>11.25</v>
      </c>
      <c r="F12" s="13"/>
      <c r="G12" s="13"/>
      <c r="H12" s="13"/>
      <c r="I12" s="38"/>
      <c r="J12" s="38"/>
      <c r="K12" s="107">
        <f t="shared" si="3"/>
        <v>0</v>
      </c>
      <c r="L12" s="19"/>
      <c r="M12" s="20"/>
      <c r="N12" s="20"/>
      <c r="O12" s="20"/>
      <c r="P12" s="97"/>
      <c r="Q12" s="21"/>
      <c r="R12" s="99">
        <f>SUM(L12:O12)-Q12-P12</f>
        <v>0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103">
        <v>44182</v>
      </c>
      <c r="Y12" s="110">
        <v>1</v>
      </c>
      <c r="Z12" s="109">
        <f t="shared" si="0"/>
        <v>-1</v>
      </c>
      <c r="AA12" s="116">
        <f t="shared" si="1"/>
        <v>15</v>
      </c>
      <c r="AB12" s="117"/>
      <c r="AC12" s="15"/>
      <c r="AD12" s="16"/>
      <c r="AE12" s="25"/>
      <c r="AF12" s="25"/>
      <c r="AG12" s="113">
        <f>SUM(AC12:AD12)</f>
        <v>0</v>
      </c>
      <c r="AH12" s="30">
        <f>SUM(AA12,AG12)</f>
        <v>15</v>
      </c>
      <c r="AI12" s="60"/>
      <c r="AJ12" s="5" t="str">
        <f t="shared" si="2"/>
        <v>незадовільно</v>
      </c>
    </row>
    <row r="13" spans="1:36" outlineLevel="1" x14ac:dyDescent="0.25">
      <c r="A13" s="93">
        <v>11</v>
      </c>
      <c r="B13" s="11" t="s">
        <v>21</v>
      </c>
      <c r="C13" s="32">
        <v>0</v>
      </c>
      <c r="D13" s="33">
        <f>15/28*10</f>
        <v>5.3571428571428568</v>
      </c>
      <c r="E13" s="34">
        <f>34/40*15</f>
        <v>12.75</v>
      </c>
      <c r="F13" s="13">
        <v>5</v>
      </c>
      <c r="G13" s="13">
        <v>5</v>
      </c>
      <c r="H13" s="13">
        <v>5</v>
      </c>
      <c r="I13" s="94">
        <v>44182</v>
      </c>
      <c r="J13" s="38"/>
      <c r="K13" s="107">
        <f t="shared" si="3"/>
        <v>15</v>
      </c>
      <c r="L13" s="19"/>
      <c r="M13" s="20"/>
      <c r="N13" s="20"/>
      <c r="O13" s="20"/>
      <c r="P13" s="97"/>
      <c r="Q13" s="21"/>
      <c r="R13" s="99">
        <f>SUM(L13:O13)-Q13-P13</f>
        <v>0</v>
      </c>
      <c r="S13" s="47"/>
      <c r="T13" s="48"/>
      <c r="U13" s="48"/>
      <c r="V13" s="48"/>
      <c r="W13" s="49"/>
      <c r="X13" s="104"/>
      <c r="Y13" s="49"/>
      <c r="Z13" s="109">
        <f t="shared" si="0"/>
        <v>0</v>
      </c>
      <c r="AA13" s="116">
        <f t="shared" si="1"/>
        <v>33</v>
      </c>
      <c r="AB13" s="117"/>
      <c r="AC13" s="15"/>
      <c r="AD13" s="16"/>
      <c r="AE13" s="25"/>
      <c r="AF13" s="25"/>
      <c r="AG13" s="113">
        <f>SUM(AC13:AD13)</f>
        <v>0</v>
      </c>
      <c r="AH13" s="30">
        <f>SUM(AA13,AG13)</f>
        <v>33</v>
      </c>
      <c r="AI13" s="60"/>
      <c r="AJ13" s="5" t="str">
        <f t="shared" si="2"/>
        <v>незадовільно</v>
      </c>
    </row>
    <row r="14" spans="1:36" outlineLevel="1" x14ac:dyDescent="0.25">
      <c r="A14">
        <v>12</v>
      </c>
      <c r="B14" s="36" t="s">
        <v>22</v>
      </c>
      <c r="C14" s="32">
        <v>0</v>
      </c>
      <c r="D14" s="33">
        <f>0/28*10</f>
        <v>0</v>
      </c>
      <c r="E14" s="34">
        <f>0/40*15</f>
        <v>0</v>
      </c>
      <c r="F14" s="13">
        <v>7</v>
      </c>
      <c r="G14" s="13">
        <v>5</v>
      </c>
      <c r="H14" s="13">
        <v>5</v>
      </c>
      <c r="I14" s="94">
        <v>44182</v>
      </c>
      <c r="J14" s="38"/>
      <c r="K14" s="107">
        <f t="shared" si="3"/>
        <v>17</v>
      </c>
      <c r="L14" s="19"/>
      <c r="M14" s="20"/>
      <c r="N14" s="20"/>
      <c r="O14" s="20"/>
      <c r="P14" s="97"/>
      <c r="Q14" s="21"/>
      <c r="R14" s="99">
        <f>SUM(L14:O14)-Q14-P14</f>
        <v>0</v>
      </c>
      <c r="S14" s="47"/>
      <c r="T14" s="48"/>
      <c r="U14" s="48"/>
      <c r="V14" s="48"/>
      <c r="W14" s="49"/>
      <c r="X14" s="104"/>
      <c r="Y14" s="102"/>
      <c r="Z14" s="109">
        <f>SUM(S16:W16)-Y14</f>
        <v>0</v>
      </c>
      <c r="AA14" s="116">
        <f t="shared" si="1"/>
        <v>17</v>
      </c>
      <c r="AB14" s="117"/>
      <c r="AC14" s="15"/>
      <c r="AD14" s="16"/>
      <c r="AE14" s="25"/>
      <c r="AF14" s="25"/>
      <c r="AG14" s="113">
        <f>SUM(AC14:AD14)</f>
        <v>0</v>
      </c>
      <c r="AH14" s="30">
        <f>SUM(AA14,AG14)</f>
        <v>17</v>
      </c>
      <c r="AI14" s="60"/>
      <c r="AJ14" s="5" t="str">
        <f t="shared" si="2"/>
        <v>незадовільно</v>
      </c>
    </row>
    <row r="15" spans="1:36" outlineLevel="1" x14ac:dyDescent="0.25">
      <c r="A15">
        <v>13</v>
      </c>
      <c r="B15" s="11" t="s">
        <v>23</v>
      </c>
      <c r="C15" s="32">
        <v>0</v>
      </c>
      <c r="D15" s="33">
        <f>13/28*10</f>
        <v>4.6428571428571432</v>
      </c>
      <c r="E15" s="34">
        <f>29/40*15</f>
        <v>10.875</v>
      </c>
      <c r="F15" s="13"/>
      <c r="G15" s="13"/>
      <c r="H15" s="13"/>
      <c r="I15" s="38"/>
      <c r="J15" s="38"/>
      <c r="K15" s="107">
        <f t="shared" si="3"/>
        <v>0</v>
      </c>
      <c r="L15" s="19"/>
      <c r="M15" s="20"/>
      <c r="N15" s="20"/>
      <c r="O15" s="20"/>
      <c r="P15" s="97"/>
      <c r="Q15" s="21"/>
      <c r="R15" s="99">
        <f>SUM(L15:O15)-Q15-P15</f>
        <v>0</v>
      </c>
      <c r="S15" s="47"/>
      <c r="T15" s="48"/>
      <c r="U15" s="48"/>
      <c r="V15" s="48"/>
      <c r="W15" s="49"/>
      <c r="X15" s="104"/>
      <c r="Y15" s="49"/>
      <c r="Z15" s="109">
        <f t="shared" si="0"/>
        <v>0</v>
      </c>
      <c r="AA15" s="116">
        <f t="shared" si="1"/>
        <v>16</v>
      </c>
      <c r="AB15" s="117"/>
      <c r="AC15" s="15"/>
      <c r="AD15" s="16"/>
      <c r="AE15" s="25"/>
      <c r="AF15" s="25"/>
      <c r="AG15" s="113">
        <f>SUM(AC15:AD15)</f>
        <v>0</v>
      </c>
      <c r="AH15" s="30">
        <f>SUM(AA15,AG15)</f>
        <v>16</v>
      </c>
      <c r="AI15" s="60"/>
      <c r="AJ15" s="5" t="str">
        <f t="shared" si="2"/>
        <v>незадовільно</v>
      </c>
    </row>
    <row r="16" spans="1:36" outlineLevel="1" x14ac:dyDescent="0.25">
      <c r="A16" s="93">
        <v>14</v>
      </c>
      <c r="B16" s="11" t="s">
        <v>24</v>
      </c>
      <c r="C16" s="32">
        <v>0</v>
      </c>
      <c r="D16" s="33">
        <f>11/28*10</f>
        <v>3.9285714285714284</v>
      </c>
      <c r="E16" s="34">
        <f>36/40*15</f>
        <v>13.5</v>
      </c>
      <c r="F16" s="13"/>
      <c r="G16" s="13"/>
      <c r="H16" s="13"/>
      <c r="I16" s="38"/>
      <c r="J16" s="38"/>
      <c r="K16" s="107">
        <f t="shared" si="3"/>
        <v>0</v>
      </c>
      <c r="L16" s="19"/>
      <c r="M16" s="20"/>
      <c r="N16" s="20"/>
      <c r="O16" s="20"/>
      <c r="P16" s="97"/>
      <c r="Q16" s="21"/>
      <c r="R16" s="99">
        <f>SUM(L16:O16)-Q16-P16</f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103">
        <v>44182</v>
      </c>
      <c r="Y16" s="110">
        <v>1</v>
      </c>
      <c r="Z16" s="109">
        <f t="shared" si="0"/>
        <v>-1</v>
      </c>
      <c r="AA16" s="116">
        <f t="shared" si="1"/>
        <v>16</v>
      </c>
      <c r="AB16" s="117"/>
      <c r="AC16" s="15"/>
      <c r="AD16" s="16"/>
      <c r="AE16" s="25"/>
      <c r="AF16" s="25"/>
      <c r="AG16" s="113">
        <f>SUM(AC16:AD16)</f>
        <v>0</v>
      </c>
      <c r="AH16" s="30">
        <f>SUM(AA16,AG16)</f>
        <v>16</v>
      </c>
      <c r="AI16" s="60"/>
      <c r="AJ16" s="5" t="str">
        <f t="shared" si="2"/>
        <v>незадовільно</v>
      </c>
    </row>
    <row r="17" spans="1:36" x14ac:dyDescent="0.25">
      <c r="A17">
        <v>15</v>
      </c>
      <c r="B17" s="11" t="s">
        <v>25</v>
      </c>
      <c r="C17" s="37">
        <v>5</v>
      </c>
      <c r="D17" s="33">
        <f>7/28*10</f>
        <v>2.5</v>
      </c>
      <c r="E17" s="34">
        <f>28/40*15</f>
        <v>10.5</v>
      </c>
      <c r="F17" s="13">
        <v>7</v>
      </c>
      <c r="G17" s="13">
        <v>6</v>
      </c>
      <c r="H17" s="13">
        <v>6</v>
      </c>
      <c r="I17" s="94">
        <v>44182</v>
      </c>
      <c r="J17" s="38"/>
      <c r="K17" s="107">
        <f t="shared" si="3"/>
        <v>19</v>
      </c>
      <c r="L17" s="19"/>
      <c r="M17" s="20"/>
      <c r="N17" s="20"/>
      <c r="O17" s="20"/>
      <c r="P17" s="97"/>
      <c r="Q17" s="21"/>
      <c r="R17" s="99">
        <f>SUM(L17:O17)-Q17</f>
        <v>0</v>
      </c>
      <c r="S17" s="47">
        <v>5</v>
      </c>
      <c r="T17" s="47">
        <v>8</v>
      </c>
      <c r="U17" s="47">
        <v>5</v>
      </c>
      <c r="V17" s="47">
        <v>7</v>
      </c>
      <c r="W17" s="47">
        <v>2</v>
      </c>
      <c r="X17" s="103">
        <v>44182</v>
      </c>
      <c r="Y17" s="49"/>
      <c r="Z17" s="109">
        <f t="shared" si="0"/>
        <v>27</v>
      </c>
      <c r="AA17" s="116">
        <f t="shared" si="1"/>
        <v>64</v>
      </c>
      <c r="AB17" s="117"/>
      <c r="AC17" s="15"/>
      <c r="AD17" s="16"/>
      <c r="AE17" s="25"/>
      <c r="AF17" s="25"/>
      <c r="AG17" s="113">
        <f>SUM(AC17:AD17)</f>
        <v>0</v>
      </c>
      <c r="AH17" s="30">
        <f>SUM(AA17,AG17)</f>
        <v>64</v>
      </c>
      <c r="AI17" s="60"/>
      <c r="AJ17" s="5" t="str">
        <f t="shared" si="2"/>
        <v>задовільно</v>
      </c>
    </row>
    <row r="18" spans="1:36" x14ac:dyDescent="0.25">
      <c r="A18">
        <v>16</v>
      </c>
      <c r="B18" s="11" t="s">
        <v>26</v>
      </c>
      <c r="C18" s="35">
        <v>0</v>
      </c>
      <c r="D18" s="33">
        <f>7/28*10</f>
        <v>2.5</v>
      </c>
      <c r="E18" s="34">
        <f>33/40*15</f>
        <v>12.375</v>
      </c>
      <c r="F18" s="13">
        <f>6+6</f>
        <v>12</v>
      </c>
      <c r="G18" s="13">
        <f>5+5</f>
        <v>10</v>
      </c>
      <c r="H18" s="13">
        <f>5+5</f>
        <v>10</v>
      </c>
      <c r="I18" s="94">
        <v>44182</v>
      </c>
      <c r="J18" s="38"/>
      <c r="K18" s="107">
        <f t="shared" si="3"/>
        <v>32</v>
      </c>
      <c r="L18" s="19"/>
      <c r="M18" s="20"/>
      <c r="N18" s="20"/>
      <c r="O18" s="20"/>
      <c r="P18" s="97"/>
      <c r="Q18" s="21"/>
      <c r="R18" s="99">
        <f>SUM(L18:O18)-Q18</f>
        <v>0</v>
      </c>
      <c r="S18" s="47">
        <v>5</v>
      </c>
      <c r="T18" s="47">
        <v>8</v>
      </c>
      <c r="U18" s="47">
        <v>5</v>
      </c>
      <c r="V18" s="47">
        <v>7</v>
      </c>
      <c r="W18" s="47">
        <v>2</v>
      </c>
      <c r="X18" s="103">
        <v>44182</v>
      </c>
      <c r="Y18" s="49"/>
      <c r="Z18" s="109">
        <f t="shared" si="0"/>
        <v>27</v>
      </c>
      <c r="AA18" s="116">
        <f t="shared" si="1"/>
        <v>74</v>
      </c>
      <c r="AB18" s="117"/>
      <c r="AC18" s="15"/>
      <c r="AD18" s="16"/>
      <c r="AE18" s="25"/>
      <c r="AF18" s="25"/>
      <c r="AG18" s="113">
        <f>SUM(AC18:AD18)</f>
        <v>0</v>
      </c>
      <c r="AH18" s="30">
        <f>SUM(AA18,AG18)</f>
        <v>74</v>
      </c>
      <c r="AI18" s="60"/>
      <c r="AJ18" s="5" t="str">
        <f t="shared" si="2"/>
        <v>задовільно</v>
      </c>
    </row>
    <row r="19" spans="1:36" ht="15.75" thickBot="1" x14ac:dyDescent="0.3">
      <c r="A19">
        <v>17</v>
      </c>
      <c r="B19" s="11" t="s">
        <v>27</v>
      </c>
      <c r="C19" s="35">
        <v>0</v>
      </c>
      <c r="D19" s="33">
        <f>10/28*10</f>
        <v>3.5714285714285716</v>
      </c>
      <c r="E19" s="34">
        <f>31/40*15</f>
        <v>11.625</v>
      </c>
      <c r="F19" s="14">
        <v>7</v>
      </c>
      <c r="G19" s="14">
        <v>5</v>
      </c>
      <c r="H19" s="14">
        <v>6</v>
      </c>
      <c r="I19" s="94">
        <v>44181</v>
      </c>
      <c r="J19" s="39"/>
      <c r="K19" s="107">
        <f t="shared" si="3"/>
        <v>18</v>
      </c>
      <c r="L19" s="19"/>
      <c r="M19" s="20"/>
      <c r="N19" s="20"/>
      <c r="O19" s="20"/>
      <c r="P19" s="97"/>
      <c r="Q19" s="21"/>
      <c r="R19" s="99">
        <f>SUM(L19:O19)-Q19-P19</f>
        <v>0</v>
      </c>
      <c r="S19" s="50"/>
      <c r="T19" s="51"/>
      <c r="U19" s="51"/>
      <c r="V19" s="51"/>
      <c r="W19" s="52"/>
      <c r="X19" s="105"/>
      <c r="Y19" s="52"/>
      <c r="Z19" s="109">
        <f t="shared" si="0"/>
        <v>0</v>
      </c>
      <c r="AA19" s="116">
        <f t="shared" si="1"/>
        <v>33</v>
      </c>
      <c r="AB19" s="117"/>
      <c r="AC19" s="17"/>
      <c r="AD19" s="18"/>
      <c r="AE19" s="55"/>
      <c r="AF19" s="55"/>
      <c r="AG19" s="113">
        <f>SUM(AC19:AD19)</f>
        <v>0</v>
      </c>
      <c r="AH19" s="30">
        <f>SUM(AA19,AG19)</f>
        <v>33</v>
      </c>
      <c r="AI19" s="60"/>
      <c r="AJ19" s="5" t="str">
        <f t="shared" si="2"/>
        <v>незадовільно</v>
      </c>
    </row>
    <row r="20" spans="1:36" x14ac:dyDescent="0.25">
      <c r="AA20" s="27"/>
      <c r="AG20" s="56"/>
      <c r="AH20" s="57"/>
      <c r="AI20" s="61"/>
      <c r="AJ20" s="58"/>
    </row>
    <row r="25" spans="1:36" x14ac:dyDescent="0.25">
      <c r="H25" t="s">
        <v>57</v>
      </c>
    </row>
  </sheetData>
  <mergeCells count="8">
    <mergeCell ref="AC1:AG1"/>
    <mergeCell ref="AH1:AJ1"/>
    <mergeCell ref="F1:K1"/>
    <mergeCell ref="C1:C2"/>
    <mergeCell ref="D1:D2"/>
    <mergeCell ref="E1:E2"/>
    <mergeCell ref="L1:R1"/>
    <mergeCell ref="S1:Z1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таблиця балів</vt:lpstr>
      <vt:lpstr>ІПЗм21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tetyana</dc:creator>
  <cp:lastModifiedBy>tetyana</cp:lastModifiedBy>
  <dcterms:created xsi:type="dcterms:W3CDTF">2020-12-02T07:19:25Z</dcterms:created>
  <dcterms:modified xsi:type="dcterms:W3CDTF">2020-12-18T03:41:23Z</dcterms:modified>
</cp:coreProperties>
</file>